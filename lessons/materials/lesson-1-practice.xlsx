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ate\Desktop\excel-course-en-v1\materials\"/>
    </mc:Choice>
  </mc:AlternateContent>
  <xr:revisionPtr revIDLastSave="0" documentId="13_ncr:1_{C6898A20-D18C-4CC4-8231-B9A6DD6ADE25}" xr6:coauthVersionLast="47" xr6:coauthVersionMax="47" xr10:uidLastSave="{00000000-0000-0000-0000-000000000000}"/>
  <bookViews>
    <workbookView xWindow="-120" yWindow="-120" windowWidth="29040" windowHeight="15720" xr2:uid="{00000000-000D-0000-FFFF-FFFF00000000}"/>
  </bookViews>
  <sheets>
    <sheet name="START HERE" sheetId="1" r:id="rId1"/>
    <sheet name="Assumptions" sheetId="2" r:id="rId2"/>
    <sheet name="Products" sheetId="3" r:id="rId3"/>
    <sheet name="Sales" sheetId="4" r:id="rId4"/>
    <sheet name="Analysis" sheetId="5" r:id="rId5"/>
    <sheet name="Workbook Map"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9" i="5" l="1"/>
  <c r="B8" i="5"/>
  <c r="B4" i="5"/>
  <c r="B5" i="5" s="1"/>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alcChain>
</file>

<file path=xl/sharedStrings.xml><?xml version="1.0" encoding="utf-8"?>
<sst xmlns="http://schemas.openxmlformats.org/spreadsheetml/2006/main" count="258" uniqueCount="178">
  <si>
    <t>Scenario</t>
  </si>
  <si>
    <t>You have received a small sales workbook prepared by another analyst. The workbook opens without obvious errors, but several results are unreliable. Repair the model so that it remains correct when assumptions and data change.</t>
  </si>
  <si>
    <t>Time limit</t>
  </si>
  <si>
    <t>30 minutes</t>
  </si>
  <si>
    <t>#</t>
  </si>
  <si>
    <t>Task</t>
  </si>
  <si>
    <t>Instruction</t>
  </si>
  <si>
    <t>Suggested time</t>
  </si>
  <si>
    <t>Validation</t>
  </si>
  <si>
    <t>Expected result</t>
  </si>
  <si>
    <t>Done</t>
  </si>
  <si>
    <t>Workbook architecture</t>
  </si>
  <si>
    <t>Identify which sheets represent Data, Assumptions, Calculations, and Presentation.</t>
  </si>
  <si>
    <t>3 min</t>
  </si>
  <si>
    <t>Rent Rate</t>
  </si>
  <si>
    <t>Changing the assumption changes Rent Expense</t>
  </si>
  <si>
    <t>□</t>
  </si>
  <si>
    <t>Remove hard-coded assumption</t>
  </si>
  <si>
    <t>On Analysis, replace the hard-coded rent percentage with a reference to the Rent Rate assumption.</t>
  </si>
  <si>
    <t>Total Revenue</t>
  </si>
  <si>
    <t>Includes every Sales row</t>
  </si>
  <si>
    <t>Repair fragile total</t>
  </si>
  <si>
    <t>Fix Total Revenue so that it includes all rows and remains correct when new rows are added.</t>
  </si>
  <si>
    <t>Tax</t>
  </si>
  <si>
    <t>Copies correctly to all rows</t>
  </si>
  <si>
    <t>Fix reference behavior</t>
  </si>
  <si>
    <t>Repair the Tax formula so that the tax-rate reference stays fixed when copied down.</t>
  </si>
  <si>
    <t>4 min</t>
  </si>
  <si>
    <t>Lookup</t>
  </si>
  <si>
    <t>Valid Product IDs return categories</t>
  </si>
  <si>
    <t>Lookup product attributes</t>
  </si>
  <si>
    <t>Complete Category using XLOOKUP from the Products table. Keep the unknown Product ID visible as a data-quality issue.</t>
  </si>
  <si>
    <t>5 min</t>
  </si>
  <si>
    <t>Unknown Product</t>
  </si>
  <si>
    <t>P-999 remains visible</t>
  </si>
  <si>
    <t>Conditional analysis</t>
  </si>
  <si>
    <t>Calculate North Revenue with SUMIFS and count transactions above the threshold stored on Assumptions.</t>
  </si>
  <si>
    <t>Aggregation</t>
  </si>
  <si>
    <t>North Revenue and high-value count are formula-driven</t>
  </si>
  <si>
    <t>Dynamic output</t>
  </si>
  <si>
    <t>Create a sorted unique region list and a filtered view of high-value transactions using SORT, UNIQUE, and FILTER.</t>
  </si>
  <si>
    <t>Dynamic arrays</t>
  </si>
  <si>
    <t>Outputs expand automatically</t>
  </si>
  <si>
    <t>Readable formula</t>
  </si>
  <si>
    <t>Rewrite Margin Status using LET with meaningful intermediate variable names.</t>
  </si>
  <si>
    <t>LET</t>
  </si>
  <si>
    <t>Margin Status uses readable variables</t>
  </si>
  <si>
    <t>Important</t>
  </si>
  <si>
    <t>Do not judge correctness only by the absence of Excel errors. Several defects in this workbook return plausible numbers.</t>
  </si>
  <si>
    <t>Controlled Assumptions</t>
  </si>
  <si>
    <t>Parameter</t>
  </si>
  <si>
    <t>Value</t>
  </si>
  <si>
    <t>Description</t>
  </si>
  <si>
    <t>Rent expense as % of revenue</t>
  </si>
  <si>
    <t>Tax Rate</t>
  </si>
  <si>
    <t>Tax applied to positive operating profit</t>
  </si>
  <si>
    <t>High Value Threshold</t>
  </si>
  <si>
    <t>Revenue threshold</t>
  </si>
  <si>
    <t>Target Margin</t>
  </si>
  <si>
    <t>Target gross margin</t>
  </si>
  <si>
    <t>Product Reference Data</t>
  </si>
  <si>
    <t>Product ID</t>
  </si>
  <si>
    <t>Product Name</t>
  </si>
  <si>
    <t>Category</t>
  </si>
  <si>
    <t>Unit Cost</t>
  </si>
  <si>
    <t>P-101</t>
  </si>
  <si>
    <t>Basic Laptop</t>
  </si>
  <si>
    <t>Computers</t>
  </si>
  <si>
    <t>P-102</t>
  </si>
  <si>
    <t>Pro Laptop</t>
  </si>
  <si>
    <t>P-103</t>
  </si>
  <si>
    <t>Office Monitor</t>
  </si>
  <si>
    <t>Displays</t>
  </si>
  <si>
    <t>P-104</t>
  </si>
  <si>
    <t>Mechanical Keyboard</t>
  </si>
  <si>
    <t>Accessories</t>
  </si>
  <si>
    <t>P-105</t>
  </si>
  <si>
    <t>Wireless Mouse</t>
  </si>
  <si>
    <t>P-106</t>
  </si>
  <si>
    <t>USB-C Dock</t>
  </si>
  <si>
    <t>P-107</t>
  </si>
  <si>
    <t>27-inch Monitor</t>
  </si>
  <si>
    <t>P-108</t>
  </si>
  <si>
    <t>Web Camera</t>
  </si>
  <si>
    <t>Sales Transactions</t>
  </si>
  <si>
    <t>Txn ID</t>
  </si>
  <si>
    <t>Date</t>
  </si>
  <si>
    <t>Region</t>
  </si>
  <si>
    <t>Quantity</t>
  </si>
  <si>
    <t>Unit Price</t>
  </si>
  <si>
    <t>Revenue</t>
  </si>
  <si>
    <t>Cost</t>
  </si>
  <si>
    <t>T-1001</t>
  </si>
  <si>
    <t>West</t>
  </si>
  <si>
    <t>T-1002</t>
  </si>
  <si>
    <t>East</t>
  </si>
  <si>
    <t>T-1003</t>
  </si>
  <si>
    <t>South</t>
  </si>
  <si>
    <t>T-1004</t>
  </si>
  <si>
    <t>North</t>
  </si>
  <si>
    <t>T-1005</t>
  </si>
  <si>
    <t>T-1006</t>
  </si>
  <si>
    <t>T-1007</t>
  </si>
  <si>
    <t>T-1008</t>
  </si>
  <si>
    <t>T-1009</t>
  </si>
  <si>
    <t>T-1010</t>
  </si>
  <si>
    <t>T-1011</t>
  </si>
  <si>
    <t>T-1012</t>
  </si>
  <si>
    <t>T-1013</t>
  </si>
  <si>
    <t>T-1014</t>
  </si>
  <si>
    <t>T-1015</t>
  </si>
  <si>
    <t>T-1016</t>
  </si>
  <si>
    <t>T-1017</t>
  </si>
  <si>
    <t>P-999</t>
  </si>
  <si>
    <t>T-1018</t>
  </si>
  <si>
    <t>T-1019</t>
  </si>
  <si>
    <t>T-1020</t>
  </si>
  <si>
    <t>T-1021</t>
  </si>
  <si>
    <t>T-1022</t>
  </si>
  <si>
    <t>T-1023</t>
  </si>
  <si>
    <t>T-1024</t>
  </si>
  <si>
    <t>T-1025</t>
  </si>
  <si>
    <t>T-1026</t>
  </si>
  <si>
    <t>T-1027</t>
  </si>
  <si>
    <t>T-1028</t>
  </si>
  <si>
    <t>T-1029</t>
  </si>
  <si>
    <t>T-1030</t>
  </si>
  <si>
    <t>Analysis — Repair the Model</t>
  </si>
  <si>
    <t>Metric</t>
  </si>
  <si>
    <t>Current formula / input</t>
  </si>
  <si>
    <t>Notes</t>
  </si>
  <si>
    <t>Formula / output</t>
  </si>
  <si>
    <t>Currently excludes the final transaction.</t>
  </si>
  <si>
    <t>Sorted unique regions</t>
  </si>
  <si>
    <t>[enter SORT + UNIQUE formula]</t>
  </si>
  <si>
    <t>Rent Expense</t>
  </si>
  <si>
    <t>Currently uses a hard-coded 15% instead of the controlled assumption.</t>
  </si>
  <si>
    <t>High-value transaction filter</t>
  </si>
  <si>
    <t>[enter FILTER formula]</t>
  </si>
  <si>
    <t>North Revenue</t>
  </si>
  <si>
    <t>[complete]</t>
  </si>
  <si>
    <t>Complete with SUMIFS.</t>
  </si>
  <si>
    <t>Spill-range reference</t>
  </si>
  <si>
    <t>Use # to reference a dynamic result where appropriate</t>
  </si>
  <si>
    <t>High-Value Transactions</t>
  </si>
  <si>
    <t>Count Revenue above the threshold from Assumptions.</t>
  </si>
  <si>
    <t>Gross Profit</t>
  </si>
  <si>
    <t>Revenue minus Cost.</t>
  </si>
  <si>
    <t>Gross Margin</t>
  </si>
  <si>
    <t>Gross Profit / Total Revenue.</t>
  </si>
  <si>
    <t>Margin Status</t>
  </si>
  <si>
    <t>[rewrite with LET]</t>
  </si>
  <si>
    <t>Rewrite using LET and compare with Target Margin.</t>
  </si>
  <si>
    <t>Audit note: the workbook intentionally contains logical defects that can return valid-looking numbers. A repaired workbook should respond correctly when assumptions or transaction rows change.</t>
  </si>
  <si>
    <t>Layer</t>
  </si>
  <si>
    <t>Sheet</t>
  </si>
  <si>
    <t>Purpose</t>
  </si>
  <si>
    <t>Student action</t>
  </si>
  <si>
    <t>Instructions</t>
  </si>
  <si>
    <t>START HERE</t>
  </si>
  <si>
    <t>Tasks and completion criteria</t>
  </si>
  <si>
    <t>Read</t>
  </si>
  <si>
    <t>Assumptions</t>
  </si>
  <si>
    <t>Controlled model parameters</t>
  </si>
  <si>
    <t>Change only when testing</t>
  </si>
  <si>
    <t>Data</t>
  </si>
  <si>
    <t>Products</t>
  </si>
  <si>
    <t>Reference/master data</t>
  </si>
  <si>
    <t>Do not edit</t>
  </si>
  <si>
    <t>Data + calculations</t>
  </si>
  <si>
    <t>Sales</t>
  </si>
  <si>
    <t>Transactions and row-level calculations</t>
  </si>
  <si>
    <t>Repair Tax and Category</t>
  </si>
  <si>
    <t>Calculations / presentation</t>
  </si>
  <si>
    <t>Analysis</t>
  </si>
  <si>
    <t>KPIs and analytical outputs</t>
  </si>
  <si>
    <t>Complete and repair formulas</t>
  </si>
  <si>
    <t>Lesson 1 Practice. Reliable Workbooks and Modern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</si>
</sst>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8">
    <font>
      <sz val="11"/>
      <name val="Carlito"/>
    </font>
    <font>
      <b/>
      <sz val="13"/>
      <color rgb="FF000000"/>
      <name val="Carlito"/>
    </font>
    <font>
      <b/>
      <sz val="11"/>
      <color rgb="FF000000"/>
      <name val="Carlito"/>
    </font>
    <font>
      <b/>
      <sz val="11"/>
      <name val="Carlito"/>
    </font>
    <font>
      <i/>
      <sz val="11"/>
      <color rgb="FF444444"/>
      <name val="Carlito"/>
    </font>
    <font>
      <b/>
      <sz val="13"/>
      <name val="Carlito"/>
    </font>
    <font>
      <sz val="11"/>
      <name val="Carlito"/>
    </font>
    <font>
      <b/>
      <sz val="11"/>
      <color theme="1" tint="4.9989318521683403E-2"/>
      <name val="Carlito"/>
    </font>
  </fonts>
  <fills count="6">
    <fill>
      <patternFill patternType="none"/>
    </fill>
    <fill>
      <patternFill patternType="gray125"/>
    </fill>
    <fill>
      <patternFill patternType="solid">
        <fgColor rgb="FFF2F2F2"/>
      </patternFill>
    </fill>
    <fill>
      <patternFill patternType="solid">
        <fgColor rgb="FFEDEDED"/>
      </patternFill>
    </fill>
    <fill>
      <patternFill patternType="solid">
        <fgColor rgb="FFFFFDF5"/>
      </patternFill>
    </fill>
    <fill>
      <patternFill patternType="solid">
        <fgColor rgb="FFFAFAFA"/>
      </patternFill>
    </fill>
  </fills>
  <borders count="2">
    <border>
      <left/>
      <right/>
      <top/>
      <bottom/>
      <diagonal/>
    </border>
    <border>
      <left/>
      <right/>
      <top/>
      <bottom style="thin">
        <color rgb="FFBFBFBF"/>
      </bottom>
      <diagonal/>
    </border>
  </borders>
  <cellStyleXfs count="2">
    <xf numFmtId="0" fontId="0" fillId="0" borderId="0"/>
    <xf numFmtId="0" fontId="6" fillId="0" borderId="0"/>
  </cellStyleXfs>
  <cellXfs count="22">
    <xf numFmtId="0" fontId="0" fillId="0" borderId="0" xfId="0"/>
    <xf numFmtId="0" fontId="0" fillId="0" borderId="0" xfId="1" applyFont="1" applyAlignment="1">
      <alignment wrapText="1"/>
    </xf>
    <xf numFmtId="0" fontId="3" fillId="0" borderId="0" xfId="1" applyFont="1"/>
    <xf numFmtId="0" fontId="2" fillId="3" borderId="1" xfId="1" applyFont="1" applyFill="1" applyBorder="1"/>
    <xf numFmtId="0" fontId="3" fillId="3" borderId="1" xfId="1" applyFont="1" applyFill="1" applyBorder="1"/>
    <xf numFmtId="0" fontId="0" fillId="4" borderId="0" xfId="1" applyFont="1" applyFill="1"/>
    <xf numFmtId="164" fontId="0" fillId="4" borderId="0" xfId="1" applyNumberFormat="1" applyFont="1" applyFill="1"/>
    <xf numFmtId="3" fontId="0" fillId="4" borderId="0" xfId="1" applyNumberFormat="1" applyFont="1" applyFill="1"/>
    <xf numFmtId="4" fontId="0" fillId="0" borderId="0" xfId="1" applyNumberFormat="1" applyFont="1"/>
    <xf numFmtId="165" fontId="0" fillId="0" borderId="0" xfId="1" applyNumberFormat="1" applyFont="1"/>
    <xf numFmtId="4" fontId="0" fillId="4" borderId="0" xfId="1" applyNumberFormat="1" applyFont="1" applyFill="1"/>
    <xf numFmtId="4" fontId="0" fillId="4" borderId="0" xfId="1" applyNumberFormat="1" applyFont="1" applyFill="1" applyAlignment="1">
      <alignment wrapText="1"/>
    </xf>
    <xf numFmtId="0" fontId="0" fillId="4" borderId="0" xfId="1" applyFont="1" applyFill="1" applyAlignment="1">
      <alignment wrapText="1"/>
    </xf>
    <xf numFmtId="164" fontId="0" fillId="4" borderId="0" xfId="1" applyNumberFormat="1" applyFont="1" applyFill="1" applyAlignment="1">
      <alignment wrapText="1"/>
    </xf>
    <xf numFmtId="0" fontId="1" fillId="0" borderId="0" xfId="1" applyFont="1"/>
    <xf numFmtId="0" fontId="2" fillId="2" borderId="0" xfId="1" applyFont="1" applyFill="1"/>
    <xf numFmtId="0" fontId="0" fillId="0" borderId="0" xfId="1" applyFont="1" applyAlignment="1">
      <alignment wrapText="1"/>
    </xf>
    <xf numFmtId="0" fontId="3" fillId="2" borderId="0" xfId="1" applyFont="1" applyFill="1"/>
    <xf numFmtId="0" fontId="4" fillId="0" borderId="0" xfId="1" applyFont="1" applyAlignment="1">
      <alignment wrapText="1"/>
    </xf>
    <xf numFmtId="0" fontId="5" fillId="0" borderId="0" xfId="1" applyFont="1"/>
    <xf numFmtId="0" fontId="4" fillId="5" borderId="0" xfId="1" applyFont="1" applyFill="1" applyAlignment="1">
      <alignment wrapText="1"/>
    </xf>
    <xf numFmtId="0" fontId="7" fillId="3" borderId="1" xfId="1" applyFont="1" applyFill="1" applyBorder="1"/>
  </cellXfs>
  <cellStyles count="2">
    <cellStyle name="Normal" xfId="1" xr:uid="{00000000-0005-0000-0000-000000000000}"/>
    <cellStyle name="Обычный" xfId="0" builtinId="0"/>
  </cellStyles>
  <dxfs count="2">
    <dxf>
      <font>
        <strike val="0"/>
        <outline val="0"/>
        <shadow val="0"/>
        <u val="none"/>
        <vertAlign val="baseline"/>
        <sz val="11"/>
        <color theme="1" tint="4.9989318521683403E-2"/>
        <name val="Carlito"/>
        <scheme val="none"/>
      </font>
    </dxf>
    <dxf>
      <font>
        <strike val="0"/>
        <outline val="0"/>
        <shadow val="0"/>
        <u val="none"/>
        <vertAlign val="baseline"/>
        <sz val="11"/>
        <color theme="1" tint="4.9989318521683403E-2"/>
        <name val="Carl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sTable" displayName="ProductsTable" ref="A3:D11" totalsRowShown="0" headerRowDxfId="1">
  <tableColumns count="4">
    <tableColumn id="1" xr3:uid="{00000000-0010-0000-0000-000001000000}" name="Product ID"/>
    <tableColumn id="2" xr3:uid="{00000000-0010-0000-0000-000002000000}" name="Product Name"/>
    <tableColumn id="3" xr3:uid="{00000000-0010-0000-0000-000003000000}" name="Category"/>
    <tableColumn id="4" xr3:uid="{00000000-0010-0000-0000-000004000000}" name="Unit Cos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lesTable" displayName="SalesTable" ref="A3:J33" totalsRowShown="0" headerRowDxfId="0">
  <tableColumns count="10">
    <tableColumn id="1" xr3:uid="{00000000-0010-0000-0100-000001000000}" name="Txn ID"/>
    <tableColumn id="2" xr3:uid="{00000000-0010-0000-0100-000002000000}" name="Date"/>
    <tableColumn id="3" xr3:uid="{00000000-0010-0000-0100-000003000000}" name="Region"/>
    <tableColumn id="4" xr3:uid="{00000000-0010-0000-0100-000004000000}" name="Product ID"/>
    <tableColumn id="5" xr3:uid="{00000000-0010-0000-0100-000005000000}" name="Quantity"/>
    <tableColumn id="6" xr3:uid="{00000000-0010-0000-0100-000006000000}" name="Unit Price"/>
    <tableColumn id="7" xr3:uid="{00000000-0010-0000-0100-000007000000}" name="Revenue"/>
    <tableColumn id="8" xr3:uid="{00000000-0010-0000-0100-000008000000}" name="Cost"/>
    <tableColumn id="9" xr3:uid="{00000000-0010-0000-0100-000009000000}" name="Tax"/>
    <tableColumn id="10" xr3:uid="{00000000-0010-0000-0100-00000A000000}" name="Categor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workbookViewId="0">
      <selection activeCell="A4" sqref="A4:H5"/>
    </sheetView>
  </sheetViews>
  <sheetFormatPr defaultRowHeight="14.25"/>
  <cols>
    <col min="1" max="1" width="5" customWidth="1"/>
    <col min="2" max="2" width="24" customWidth="1"/>
    <col min="3" max="3" width="66" customWidth="1"/>
    <col min="4" max="4" width="16" customWidth="1"/>
    <col min="6" max="6" width="20" customWidth="1"/>
    <col min="7" max="7" width="38" customWidth="1"/>
    <col min="8" max="8" width="9" customWidth="1"/>
  </cols>
  <sheetData>
    <row r="1" spans="1:8" ht="16.5">
      <c r="A1" s="14" t="s">
        <v>177</v>
      </c>
      <c r="B1" s="14"/>
      <c r="C1" s="14"/>
      <c r="D1" s="14"/>
      <c r="E1" s="14"/>
      <c r="F1" s="14"/>
      <c r="G1" s="14"/>
      <c r="H1" s="14"/>
    </row>
    <row r="3" spans="1:8" ht="15">
      <c r="A3" s="15" t="s">
        <v>0</v>
      </c>
      <c r="B3" s="15"/>
      <c r="C3" s="15"/>
      <c r="D3" s="15"/>
      <c r="E3" s="15"/>
      <c r="F3" s="15"/>
      <c r="G3" s="15"/>
      <c r="H3" s="15"/>
    </row>
    <row r="4" spans="1:8">
      <c r="A4" s="16" t="s">
        <v>1</v>
      </c>
      <c r="B4" s="16"/>
      <c r="C4" s="16"/>
      <c r="D4" s="16"/>
      <c r="E4" s="16"/>
      <c r="F4" s="16"/>
      <c r="G4" s="16"/>
      <c r="H4" s="16"/>
    </row>
    <row r="5" spans="1:8">
      <c r="A5" s="16"/>
      <c r="B5" s="16"/>
      <c r="C5" s="16"/>
      <c r="D5" s="16"/>
      <c r="E5" s="16"/>
      <c r="F5" s="16"/>
      <c r="G5" s="16"/>
      <c r="H5" s="16"/>
    </row>
    <row r="7" spans="1:8" ht="15">
      <c r="A7" s="2" t="s">
        <v>2</v>
      </c>
      <c r="B7" s="2" t="s">
        <v>3</v>
      </c>
    </row>
    <row r="9" spans="1:8" ht="15">
      <c r="A9" s="3" t="s">
        <v>4</v>
      </c>
      <c r="B9" s="3" t="s">
        <v>5</v>
      </c>
      <c r="C9" s="3" t="s">
        <v>6</v>
      </c>
      <c r="D9" s="3" t="s">
        <v>7</v>
      </c>
      <c r="F9" s="3" t="s">
        <v>8</v>
      </c>
      <c r="G9" s="3" t="s">
        <v>9</v>
      </c>
      <c r="H9" s="3" t="s">
        <v>10</v>
      </c>
    </row>
    <row r="10" spans="1:8" ht="28.5">
      <c r="A10" s="1">
        <v>1</v>
      </c>
      <c r="B10" s="1" t="s">
        <v>11</v>
      </c>
      <c r="C10" s="1" t="s">
        <v>12</v>
      </c>
      <c r="D10" s="1" t="s">
        <v>13</v>
      </c>
      <c r="F10" s="1" t="s">
        <v>14</v>
      </c>
      <c r="G10" s="1" t="s">
        <v>15</v>
      </c>
      <c r="H10" s="1" t="s">
        <v>16</v>
      </c>
    </row>
    <row r="11" spans="1:8" ht="28.5">
      <c r="A11" s="1">
        <v>2</v>
      </c>
      <c r="B11" s="1" t="s">
        <v>17</v>
      </c>
      <c r="C11" s="1" t="s">
        <v>18</v>
      </c>
      <c r="D11" s="1" t="s">
        <v>13</v>
      </c>
      <c r="F11" s="1" t="s">
        <v>19</v>
      </c>
      <c r="G11" s="1" t="s">
        <v>20</v>
      </c>
      <c r="H11" s="1" t="s">
        <v>16</v>
      </c>
    </row>
    <row r="12" spans="1:8" ht="28.5">
      <c r="A12" s="1">
        <v>3</v>
      </c>
      <c r="B12" s="1" t="s">
        <v>21</v>
      </c>
      <c r="C12" s="1" t="s">
        <v>22</v>
      </c>
      <c r="D12" s="1" t="s">
        <v>13</v>
      </c>
      <c r="F12" s="1" t="s">
        <v>23</v>
      </c>
      <c r="G12" s="1" t="s">
        <v>24</v>
      </c>
      <c r="H12" s="1" t="s">
        <v>16</v>
      </c>
    </row>
    <row r="13" spans="1:8" ht="28.5">
      <c r="A13" s="1">
        <v>4</v>
      </c>
      <c r="B13" s="1" t="s">
        <v>25</v>
      </c>
      <c r="C13" s="1" t="s">
        <v>26</v>
      </c>
      <c r="D13" s="1" t="s">
        <v>27</v>
      </c>
      <c r="F13" s="1" t="s">
        <v>28</v>
      </c>
      <c r="G13" s="1" t="s">
        <v>29</v>
      </c>
      <c r="H13" s="1" t="s">
        <v>16</v>
      </c>
    </row>
    <row r="14" spans="1:8" ht="28.5">
      <c r="A14" s="1">
        <v>5</v>
      </c>
      <c r="B14" s="1" t="s">
        <v>30</v>
      </c>
      <c r="C14" s="1" t="s">
        <v>31</v>
      </c>
      <c r="D14" s="1" t="s">
        <v>32</v>
      </c>
      <c r="F14" s="1" t="s">
        <v>33</v>
      </c>
      <c r="G14" s="1" t="s">
        <v>34</v>
      </c>
      <c r="H14" s="1" t="s">
        <v>16</v>
      </c>
    </row>
    <row r="15" spans="1:8" ht="28.5">
      <c r="A15" s="1">
        <v>6</v>
      </c>
      <c r="B15" s="1" t="s">
        <v>35</v>
      </c>
      <c r="C15" s="1" t="s">
        <v>36</v>
      </c>
      <c r="D15" s="1" t="s">
        <v>27</v>
      </c>
      <c r="F15" s="1" t="s">
        <v>37</v>
      </c>
      <c r="G15" s="1" t="s">
        <v>38</v>
      </c>
      <c r="H15" s="1" t="s">
        <v>16</v>
      </c>
    </row>
    <row r="16" spans="1:8" ht="28.5">
      <c r="A16" s="1">
        <v>7</v>
      </c>
      <c r="B16" s="1" t="s">
        <v>39</v>
      </c>
      <c r="C16" s="1" t="s">
        <v>40</v>
      </c>
      <c r="D16" s="1" t="s">
        <v>32</v>
      </c>
      <c r="F16" s="1" t="s">
        <v>41</v>
      </c>
      <c r="G16" s="1" t="s">
        <v>42</v>
      </c>
      <c r="H16" s="1" t="s">
        <v>16</v>
      </c>
    </row>
    <row r="17" spans="1:8" ht="28.5">
      <c r="A17" s="1">
        <v>8</v>
      </c>
      <c r="B17" s="1" t="s">
        <v>43</v>
      </c>
      <c r="C17" s="1" t="s">
        <v>44</v>
      </c>
      <c r="D17" s="1" t="s">
        <v>13</v>
      </c>
      <c r="F17" s="1" t="s">
        <v>45</v>
      </c>
      <c r="G17" s="1" t="s">
        <v>46</v>
      </c>
      <c r="H17" s="1" t="s">
        <v>16</v>
      </c>
    </row>
    <row r="19" spans="1:8" ht="15">
      <c r="A19" s="17" t="s">
        <v>47</v>
      </c>
      <c r="B19" s="17"/>
      <c r="C19" s="17"/>
      <c r="D19" s="17"/>
      <c r="E19" s="17"/>
      <c r="F19" s="17"/>
      <c r="G19" s="17"/>
      <c r="H19" s="17"/>
    </row>
    <row r="20" spans="1:8">
      <c r="A20" s="18" t="s">
        <v>48</v>
      </c>
      <c r="B20" s="18"/>
      <c r="C20" s="18"/>
      <c r="D20" s="18"/>
      <c r="E20" s="18"/>
      <c r="F20" s="18"/>
      <c r="G20" s="18"/>
      <c r="H20" s="18"/>
    </row>
    <row r="21" spans="1:8">
      <c r="A21" s="18"/>
      <c r="B21" s="18"/>
      <c r="C21" s="18"/>
      <c r="D21" s="18"/>
      <c r="E21" s="18"/>
      <c r="F21" s="18"/>
      <c r="G21" s="18"/>
      <c r="H21" s="18"/>
    </row>
  </sheetData>
  <mergeCells count="5">
    <mergeCell ref="A1:H1"/>
    <mergeCell ref="A3:H3"/>
    <mergeCell ref="A4:H5"/>
    <mergeCell ref="A19:H19"/>
    <mergeCell ref="A20:H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election sqref="A1:C1"/>
    </sheetView>
  </sheetViews>
  <sheetFormatPr defaultRowHeight="14.25"/>
  <cols>
    <col min="1" max="1" width="24" customWidth="1"/>
    <col min="2" max="2" width="15" customWidth="1"/>
    <col min="3" max="3" width="38" customWidth="1"/>
  </cols>
  <sheetData>
    <row r="1" spans="1:3" ht="16.5">
      <c r="A1" s="19" t="s">
        <v>49</v>
      </c>
      <c r="B1" s="19"/>
      <c r="C1" s="19"/>
    </row>
    <row r="3" spans="1:3" ht="15">
      <c r="A3" s="4" t="s">
        <v>50</v>
      </c>
      <c r="B3" s="4" t="s">
        <v>51</v>
      </c>
      <c r="C3" s="4" t="s">
        <v>52</v>
      </c>
    </row>
    <row r="4" spans="1:3">
      <c r="A4" t="s">
        <v>14</v>
      </c>
      <c r="B4" s="6">
        <v>0.18</v>
      </c>
      <c r="C4" t="s">
        <v>53</v>
      </c>
    </row>
    <row r="5" spans="1:3">
      <c r="A5" t="s">
        <v>54</v>
      </c>
      <c r="B5" s="6">
        <v>0.2</v>
      </c>
      <c r="C5" t="s">
        <v>55</v>
      </c>
    </row>
    <row r="6" spans="1:3">
      <c r="A6" t="s">
        <v>56</v>
      </c>
      <c r="B6" s="7">
        <v>10000</v>
      </c>
      <c r="C6" t="s">
        <v>57</v>
      </c>
    </row>
    <row r="7" spans="1:3">
      <c r="A7" t="s">
        <v>58</v>
      </c>
      <c r="B7" s="6">
        <v>0.25</v>
      </c>
      <c r="C7" t="s">
        <v>59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election activeCell="A3" sqref="A3:D3"/>
    </sheetView>
  </sheetViews>
  <sheetFormatPr defaultRowHeight="14.25"/>
  <cols>
    <col min="1" max="1" width="14" customWidth="1"/>
    <col min="2" max="2" width="26" customWidth="1"/>
    <col min="3" max="3" width="18" customWidth="1"/>
    <col min="4" max="4" width="13" customWidth="1"/>
  </cols>
  <sheetData>
    <row r="1" spans="1:4" ht="16.5">
      <c r="A1" s="19" t="s">
        <v>60</v>
      </c>
      <c r="B1" s="19"/>
      <c r="C1" s="19"/>
      <c r="D1" s="19"/>
    </row>
    <row r="3" spans="1:4" ht="15">
      <c r="A3" s="21" t="s">
        <v>61</v>
      </c>
      <c r="B3" s="21" t="s">
        <v>62</v>
      </c>
      <c r="C3" s="21" t="s">
        <v>63</v>
      </c>
      <c r="D3" s="21" t="s">
        <v>64</v>
      </c>
    </row>
    <row r="4" spans="1:4">
      <c r="A4" t="s">
        <v>65</v>
      </c>
      <c r="B4" t="s">
        <v>66</v>
      </c>
      <c r="C4" t="s">
        <v>67</v>
      </c>
      <c r="D4" s="8">
        <v>620</v>
      </c>
    </row>
    <row r="5" spans="1:4">
      <c r="A5" t="s">
        <v>68</v>
      </c>
      <c r="B5" t="s">
        <v>69</v>
      </c>
      <c r="C5" t="s">
        <v>67</v>
      </c>
      <c r="D5" s="8">
        <v>980</v>
      </c>
    </row>
    <row r="6" spans="1:4">
      <c r="A6" t="s">
        <v>70</v>
      </c>
      <c r="B6" t="s">
        <v>71</v>
      </c>
      <c r="C6" t="s">
        <v>72</v>
      </c>
      <c r="D6" s="8">
        <v>190</v>
      </c>
    </row>
    <row r="7" spans="1:4">
      <c r="A7" t="s">
        <v>73</v>
      </c>
      <c r="B7" t="s">
        <v>74</v>
      </c>
      <c r="C7" t="s">
        <v>75</v>
      </c>
      <c r="D7" s="8">
        <v>58</v>
      </c>
    </row>
    <row r="8" spans="1:4">
      <c r="A8" t="s">
        <v>76</v>
      </c>
      <c r="B8" t="s">
        <v>77</v>
      </c>
      <c r="C8" t="s">
        <v>75</v>
      </c>
      <c r="D8" s="8">
        <v>27</v>
      </c>
    </row>
    <row r="9" spans="1:4">
      <c r="A9" t="s">
        <v>78</v>
      </c>
      <c r="B9" t="s">
        <v>79</v>
      </c>
      <c r="C9" t="s">
        <v>75</v>
      </c>
      <c r="D9" s="8">
        <v>86</v>
      </c>
    </row>
    <row r="10" spans="1:4">
      <c r="A10" t="s">
        <v>80</v>
      </c>
      <c r="B10" t="s">
        <v>81</v>
      </c>
      <c r="C10" t="s">
        <v>72</v>
      </c>
      <c r="D10" s="8">
        <v>245</v>
      </c>
    </row>
    <row r="11" spans="1:4">
      <c r="A11" t="s">
        <v>82</v>
      </c>
      <c r="B11" t="s">
        <v>83</v>
      </c>
      <c r="C11" t="s">
        <v>75</v>
      </c>
      <c r="D11" s="8">
        <v>44</v>
      </c>
    </row>
  </sheetData>
  <mergeCells count="1">
    <mergeCell ref="A1:D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3"/>
  <sheetViews>
    <sheetView workbookViewId="0">
      <selection activeCell="A3" sqref="A3:J3"/>
    </sheetView>
  </sheetViews>
  <sheetFormatPr defaultRowHeight="14.25"/>
  <cols>
    <col min="1" max="1" width="12" customWidth="1"/>
    <col min="2" max="2" width="13" customWidth="1"/>
    <col min="3" max="3" width="12" customWidth="1"/>
    <col min="4" max="4" width="13" customWidth="1"/>
    <col min="5" max="5" width="10" customWidth="1"/>
    <col min="6" max="9" width="14" customWidth="1"/>
    <col min="10" max="10" width="18" customWidth="1"/>
  </cols>
  <sheetData>
    <row r="1" spans="1:10" ht="16.5">
      <c r="A1" s="19" t="s">
        <v>84</v>
      </c>
      <c r="B1" s="19"/>
      <c r="C1" s="19"/>
      <c r="D1" s="19"/>
      <c r="E1" s="19"/>
      <c r="F1" s="19"/>
      <c r="G1" s="19"/>
      <c r="H1" s="19"/>
      <c r="I1" s="19"/>
      <c r="J1" s="19"/>
    </row>
    <row r="3" spans="1:10" ht="15">
      <c r="A3" s="21" t="s">
        <v>85</v>
      </c>
      <c r="B3" s="21" t="s">
        <v>86</v>
      </c>
      <c r="C3" s="21" t="s">
        <v>87</v>
      </c>
      <c r="D3" s="21" t="s">
        <v>61</v>
      </c>
      <c r="E3" s="21" t="s">
        <v>88</v>
      </c>
      <c r="F3" s="21" t="s">
        <v>89</v>
      </c>
      <c r="G3" s="21" t="s">
        <v>90</v>
      </c>
      <c r="H3" s="21" t="s">
        <v>91</v>
      </c>
      <c r="I3" s="21" t="s">
        <v>23</v>
      </c>
      <c r="J3" s="21" t="s">
        <v>63</v>
      </c>
    </row>
    <row r="4" spans="1:10">
      <c r="A4" t="s">
        <v>92</v>
      </c>
      <c r="B4" s="9">
        <v>46027</v>
      </c>
      <c r="C4" t="s">
        <v>93</v>
      </c>
      <c r="D4" t="s">
        <v>80</v>
      </c>
      <c r="E4">
        <v>27</v>
      </c>
      <c r="F4" s="8">
        <v>365</v>
      </c>
      <c r="G4" s="8">
        <v>9855</v>
      </c>
      <c r="H4" s="8">
        <v>6615</v>
      </c>
      <c r="I4" s="10">
        <f>IF(G4-H4&gt;0,(G4-H4)*Assumptions!B5,0)</f>
        <v>648</v>
      </c>
      <c r="J4" s="5"/>
    </row>
    <row r="5" spans="1:10">
      <c r="A5" t="s">
        <v>94</v>
      </c>
      <c r="B5" s="9">
        <v>46029</v>
      </c>
      <c r="C5" t="s">
        <v>95</v>
      </c>
      <c r="D5" t="s">
        <v>76</v>
      </c>
      <c r="E5">
        <v>13</v>
      </c>
      <c r="F5" s="8">
        <v>49</v>
      </c>
      <c r="G5" s="8">
        <v>637</v>
      </c>
      <c r="H5" s="8">
        <v>351</v>
      </c>
      <c r="I5" s="10">
        <f>IF(G5-H5&gt;0,(G5-H5)*Assumptions!B6,0)</f>
        <v>2860000</v>
      </c>
      <c r="J5" s="5"/>
    </row>
    <row r="6" spans="1:10">
      <c r="A6" t="s">
        <v>96</v>
      </c>
      <c r="B6" s="9">
        <v>46031</v>
      </c>
      <c r="C6" t="s">
        <v>97</v>
      </c>
      <c r="D6" t="s">
        <v>76</v>
      </c>
      <c r="E6">
        <v>7</v>
      </c>
      <c r="F6" s="8">
        <v>49</v>
      </c>
      <c r="G6" s="8">
        <v>343</v>
      </c>
      <c r="H6" s="8">
        <v>189</v>
      </c>
      <c r="I6" s="10">
        <f>IF(G6-H6&gt;0,(G6-H6)*Assumptions!B7,0)</f>
        <v>38.5</v>
      </c>
      <c r="J6" s="5"/>
    </row>
    <row r="7" spans="1:10">
      <c r="A7" t="s">
        <v>98</v>
      </c>
      <c r="B7" s="9">
        <v>46033</v>
      </c>
      <c r="C7" t="s">
        <v>99</v>
      </c>
      <c r="D7" t="s">
        <v>76</v>
      </c>
      <c r="E7">
        <v>5</v>
      </c>
      <c r="F7" s="8">
        <v>49</v>
      </c>
      <c r="G7" s="8">
        <v>245</v>
      </c>
      <c r="H7" s="8">
        <v>135</v>
      </c>
      <c r="I7" s="10">
        <f>IF(G7-H7&gt;0,(G7-H7)*Assumptions!B8,0)</f>
        <v>0</v>
      </c>
      <c r="J7" s="5"/>
    </row>
    <row r="8" spans="1:10">
      <c r="A8" t="s">
        <v>100</v>
      </c>
      <c r="B8" s="9">
        <v>46035</v>
      </c>
      <c r="C8" t="s">
        <v>93</v>
      </c>
      <c r="D8" t="s">
        <v>65</v>
      </c>
      <c r="E8">
        <v>9</v>
      </c>
      <c r="F8" s="8">
        <v>890</v>
      </c>
      <c r="G8" s="8">
        <v>8010</v>
      </c>
      <c r="H8" s="8">
        <v>5580</v>
      </c>
      <c r="I8" s="10">
        <f>IF(G8-H8&gt;0,(G8-H8)*Assumptions!B9,0)</f>
        <v>0</v>
      </c>
      <c r="J8" s="5"/>
    </row>
    <row r="9" spans="1:10">
      <c r="A9" t="s">
        <v>101</v>
      </c>
      <c r="B9" s="9">
        <v>46037</v>
      </c>
      <c r="C9" t="s">
        <v>95</v>
      </c>
      <c r="D9" t="s">
        <v>80</v>
      </c>
      <c r="E9">
        <v>28</v>
      </c>
      <c r="F9" s="8">
        <v>365</v>
      </c>
      <c r="G9" s="8">
        <v>10220</v>
      </c>
      <c r="H9" s="8">
        <v>6860</v>
      </c>
      <c r="I9" s="10">
        <f>IF(G9-H9&gt;0,(G9-H9)*Assumptions!B10,0)</f>
        <v>0</v>
      </c>
      <c r="J9" s="5"/>
    </row>
    <row r="10" spans="1:10">
      <c r="A10" t="s">
        <v>102</v>
      </c>
      <c r="B10" s="9">
        <v>46039</v>
      </c>
      <c r="C10" t="s">
        <v>97</v>
      </c>
      <c r="D10" t="s">
        <v>80</v>
      </c>
      <c r="E10">
        <v>10</v>
      </c>
      <c r="F10" s="8">
        <v>365</v>
      </c>
      <c r="G10" s="8">
        <v>3650</v>
      </c>
      <c r="H10" s="8">
        <v>2450</v>
      </c>
      <c r="I10" s="10">
        <f>IF(G10-H10&gt;0,(G10-H10)*Assumptions!B11,0)</f>
        <v>0</v>
      </c>
      <c r="J10" s="5"/>
    </row>
    <row r="11" spans="1:10">
      <c r="A11" t="s">
        <v>103</v>
      </c>
      <c r="B11" s="9">
        <v>46041</v>
      </c>
      <c r="C11" t="s">
        <v>99</v>
      </c>
      <c r="D11" t="s">
        <v>78</v>
      </c>
      <c r="E11">
        <v>22</v>
      </c>
      <c r="F11" s="8">
        <v>149</v>
      </c>
      <c r="G11" s="8">
        <v>3278</v>
      </c>
      <c r="H11" s="8">
        <v>1892</v>
      </c>
      <c r="I11" s="10">
        <f>IF(G11-H11&gt;0,(G11-H11)*Assumptions!B12,0)</f>
        <v>0</v>
      </c>
      <c r="J11" s="5"/>
    </row>
    <row r="12" spans="1:10">
      <c r="A12" t="s">
        <v>104</v>
      </c>
      <c r="B12" s="9">
        <v>46043</v>
      </c>
      <c r="C12" t="s">
        <v>93</v>
      </c>
      <c r="D12" t="s">
        <v>80</v>
      </c>
      <c r="E12">
        <v>6</v>
      </c>
      <c r="F12" s="8">
        <v>365</v>
      </c>
      <c r="G12" s="8">
        <v>2190</v>
      </c>
      <c r="H12" s="8">
        <v>1470</v>
      </c>
      <c r="I12" s="10">
        <f>IF(G12-H12&gt;0,(G12-H12)*Assumptions!B13,0)</f>
        <v>0</v>
      </c>
      <c r="J12" s="5"/>
    </row>
    <row r="13" spans="1:10">
      <c r="A13" t="s">
        <v>105</v>
      </c>
      <c r="B13" s="9">
        <v>46045</v>
      </c>
      <c r="C13" t="s">
        <v>95</v>
      </c>
      <c r="D13" t="s">
        <v>65</v>
      </c>
      <c r="E13">
        <v>6</v>
      </c>
      <c r="F13" s="8">
        <v>890</v>
      </c>
      <c r="G13" s="8">
        <v>5340</v>
      </c>
      <c r="H13" s="8">
        <v>3720</v>
      </c>
      <c r="I13" s="10">
        <f>IF(G13-H13&gt;0,(G13-H13)*Assumptions!B14,0)</f>
        <v>0</v>
      </c>
      <c r="J13" s="5"/>
    </row>
    <row r="14" spans="1:10">
      <c r="A14" t="s">
        <v>106</v>
      </c>
      <c r="B14" s="9">
        <v>46047</v>
      </c>
      <c r="C14" t="s">
        <v>97</v>
      </c>
      <c r="D14" t="s">
        <v>73</v>
      </c>
      <c r="E14">
        <v>6</v>
      </c>
      <c r="F14" s="8">
        <v>95</v>
      </c>
      <c r="G14" s="8">
        <v>570</v>
      </c>
      <c r="H14" s="8">
        <v>348</v>
      </c>
      <c r="I14" s="10">
        <f>IF(G14-H14&gt;0,(G14-H14)*Assumptions!B15,0)</f>
        <v>0</v>
      </c>
      <c r="J14" s="5"/>
    </row>
    <row r="15" spans="1:10">
      <c r="A15" t="s">
        <v>107</v>
      </c>
      <c r="B15" s="9">
        <v>46049</v>
      </c>
      <c r="C15" t="s">
        <v>99</v>
      </c>
      <c r="D15" t="s">
        <v>73</v>
      </c>
      <c r="E15">
        <v>12</v>
      </c>
      <c r="F15" s="8">
        <v>95</v>
      </c>
      <c r="G15" s="8">
        <v>1140</v>
      </c>
      <c r="H15" s="8">
        <v>696</v>
      </c>
      <c r="I15" s="10">
        <f>IF(G15-H15&gt;0,(G15-H15)*Assumptions!B16,0)</f>
        <v>0</v>
      </c>
      <c r="J15" s="5"/>
    </row>
    <row r="16" spans="1:10">
      <c r="A16" t="s">
        <v>108</v>
      </c>
      <c r="B16" s="9">
        <v>46051</v>
      </c>
      <c r="C16" t="s">
        <v>93</v>
      </c>
      <c r="D16" t="s">
        <v>68</v>
      </c>
      <c r="E16">
        <v>24</v>
      </c>
      <c r="F16" s="8">
        <v>1350</v>
      </c>
      <c r="G16" s="8">
        <v>32400</v>
      </c>
      <c r="H16" s="8">
        <v>23520</v>
      </c>
      <c r="I16" s="10">
        <f>IF(G16-H16&gt;0,(G16-H16)*Assumptions!B17,0)</f>
        <v>0</v>
      </c>
      <c r="J16" s="5"/>
    </row>
    <row r="17" spans="1:10">
      <c r="A17" t="s">
        <v>109</v>
      </c>
      <c r="B17" s="9">
        <v>46053</v>
      </c>
      <c r="C17" t="s">
        <v>95</v>
      </c>
      <c r="D17" t="s">
        <v>68</v>
      </c>
      <c r="E17">
        <v>11</v>
      </c>
      <c r="F17" s="8">
        <v>1350</v>
      </c>
      <c r="G17" s="8">
        <v>14850</v>
      </c>
      <c r="H17" s="8">
        <v>10780</v>
      </c>
      <c r="I17" s="10">
        <f>IF(G17-H17&gt;0,(G17-H17)*Assumptions!B18,0)</f>
        <v>0</v>
      </c>
      <c r="J17" s="5"/>
    </row>
    <row r="18" spans="1:10">
      <c r="A18" t="s">
        <v>110</v>
      </c>
      <c r="B18" s="9">
        <v>46055</v>
      </c>
      <c r="C18" t="s">
        <v>97</v>
      </c>
      <c r="D18" t="s">
        <v>80</v>
      </c>
      <c r="E18">
        <v>4</v>
      </c>
      <c r="F18" s="8">
        <v>365</v>
      </c>
      <c r="G18" s="8">
        <v>1460</v>
      </c>
      <c r="H18" s="8">
        <v>980</v>
      </c>
      <c r="I18" s="10">
        <f>IF(G18-H18&gt;0,(G18-H18)*Assumptions!B19,0)</f>
        <v>0</v>
      </c>
      <c r="J18" s="5"/>
    </row>
    <row r="19" spans="1:10">
      <c r="A19" t="s">
        <v>111</v>
      </c>
      <c r="B19" s="9">
        <v>46057</v>
      </c>
      <c r="C19" t="s">
        <v>99</v>
      </c>
      <c r="D19" t="s">
        <v>82</v>
      </c>
      <c r="E19">
        <v>22</v>
      </c>
      <c r="F19" s="8">
        <v>79</v>
      </c>
      <c r="G19" s="8">
        <v>1738</v>
      </c>
      <c r="H19" s="8">
        <v>968</v>
      </c>
      <c r="I19" s="10">
        <f>IF(G19-H19&gt;0,(G19-H19)*Assumptions!B20,0)</f>
        <v>0</v>
      </c>
      <c r="J19" s="5"/>
    </row>
    <row r="20" spans="1:10">
      <c r="A20" t="s">
        <v>112</v>
      </c>
      <c r="B20" s="9">
        <v>46059</v>
      </c>
      <c r="C20" t="s">
        <v>93</v>
      </c>
      <c r="D20" t="s">
        <v>113</v>
      </c>
      <c r="E20">
        <v>23</v>
      </c>
      <c r="F20" s="8">
        <v>120</v>
      </c>
      <c r="G20" s="8">
        <v>2760</v>
      </c>
      <c r="H20" s="8">
        <v>1725</v>
      </c>
      <c r="I20" s="10">
        <f>IF(G20-H20&gt;0,(G20-H20)*Assumptions!B21,0)</f>
        <v>0</v>
      </c>
      <c r="J20" s="5"/>
    </row>
    <row r="21" spans="1:10">
      <c r="A21" t="s">
        <v>114</v>
      </c>
      <c r="B21" s="9">
        <v>46061</v>
      </c>
      <c r="C21" t="s">
        <v>95</v>
      </c>
      <c r="D21" t="s">
        <v>80</v>
      </c>
      <c r="E21">
        <v>28</v>
      </c>
      <c r="F21" s="8">
        <v>365</v>
      </c>
      <c r="G21" s="8">
        <v>10220</v>
      </c>
      <c r="H21" s="8">
        <v>6860</v>
      </c>
      <c r="I21" s="10">
        <f>IF(G21-H21&gt;0,(G21-H21)*Assumptions!B22,0)</f>
        <v>0</v>
      </c>
      <c r="J21" s="5"/>
    </row>
    <row r="22" spans="1:10">
      <c r="A22" t="s">
        <v>115</v>
      </c>
      <c r="B22" s="9">
        <v>46063</v>
      </c>
      <c r="C22" t="s">
        <v>97</v>
      </c>
      <c r="D22" t="s">
        <v>78</v>
      </c>
      <c r="E22">
        <v>2</v>
      </c>
      <c r="F22" s="8">
        <v>149</v>
      </c>
      <c r="G22" s="8">
        <v>298</v>
      </c>
      <c r="H22" s="8">
        <v>172</v>
      </c>
      <c r="I22" s="10">
        <f>IF(G22-H22&gt;0,(G22-H22)*Assumptions!B23,0)</f>
        <v>0</v>
      </c>
      <c r="J22" s="5"/>
    </row>
    <row r="23" spans="1:10">
      <c r="A23" t="s">
        <v>116</v>
      </c>
      <c r="B23" s="9">
        <v>46065</v>
      </c>
      <c r="C23" t="s">
        <v>99</v>
      </c>
      <c r="D23" t="s">
        <v>80</v>
      </c>
      <c r="E23">
        <v>13</v>
      </c>
      <c r="F23" s="8">
        <v>365</v>
      </c>
      <c r="G23" s="8">
        <v>4745</v>
      </c>
      <c r="H23" s="8">
        <v>3185</v>
      </c>
      <c r="I23" s="10">
        <f>IF(G23-H23&gt;0,(G23-H23)*Assumptions!B24,0)</f>
        <v>0</v>
      </c>
      <c r="J23" s="5"/>
    </row>
    <row r="24" spans="1:10">
      <c r="A24" t="s">
        <v>117</v>
      </c>
      <c r="B24" s="9">
        <v>46067</v>
      </c>
      <c r="C24" t="s">
        <v>93</v>
      </c>
      <c r="D24" t="s">
        <v>65</v>
      </c>
      <c r="E24">
        <v>26</v>
      </c>
      <c r="F24" s="8">
        <v>890</v>
      </c>
      <c r="G24" s="8">
        <v>23140</v>
      </c>
      <c r="H24" s="8">
        <v>16120</v>
      </c>
      <c r="I24" s="10">
        <f>IF(G24-H24&gt;0,(G24-H24)*Assumptions!B25,0)</f>
        <v>0</v>
      </c>
      <c r="J24" s="5"/>
    </row>
    <row r="25" spans="1:10">
      <c r="A25" t="s">
        <v>118</v>
      </c>
      <c r="B25" s="9">
        <v>46069</v>
      </c>
      <c r="C25" t="s">
        <v>95</v>
      </c>
      <c r="D25" t="s">
        <v>78</v>
      </c>
      <c r="E25">
        <v>3</v>
      </c>
      <c r="F25" s="8">
        <v>149</v>
      </c>
      <c r="G25" s="8">
        <v>447</v>
      </c>
      <c r="H25" s="8">
        <v>258</v>
      </c>
      <c r="I25" s="10">
        <f>IF(G25-H25&gt;0,(G25-H25)*Assumptions!B26,0)</f>
        <v>0</v>
      </c>
      <c r="J25" s="5"/>
    </row>
    <row r="26" spans="1:10">
      <c r="A26" t="s">
        <v>119</v>
      </c>
      <c r="B26" s="9">
        <v>46071</v>
      </c>
      <c r="C26" t="s">
        <v>97</v>
      </c>
      <c r="D26" t="s">
        <v>82</v>
      </c>
      <c r="E26">
        <v>13</v>
      </c>
      <c r="F26" s="8">
        <v>79</v>
      </c>
      <c r="G26" s="8">
        <v>1027</v>
      </c>
      <c r="H26" s="8">
        <v>572</v>
      </c>
      <c r="I26" s="10">
        <f>IF(G26-H26&gt;0,(G26-H26)*Assumptions!B27,0)</f>
        <v>0</v>
      </c>
      <c r="J26" s="5"/>
    </row>
    <row r="27" spans="1:10">
      <c r="A27" t="s">
        <v>120</v>
      </c>
      <c r="B27" s="9">
        <v>46073</v>
      </c>
      <c r="C27" t="s">
        <v>99</v>
      </c>
      <c r="D27" t="s">
        <v>65</v>
      </c>
      <c r="E27">
        <v>14</v>
      </c>
      <c r="F27" s="8">
        <v>890</v>
      </c>
      <c r="G27" s="8">
        <v>12460</v>
      </c>
      <c r="H27" s="8">
        <v>8680</v>
      </c>
      <c r="I27" s="10">
        <f>IF(G27-H27&gt;0,(G27-H27)*Assumptions!B28,0)</f>
        <v>0</v>
      </c>
      <c r="J27" s="5"/>
    </row>
    <row r="28" spans="1:10">
      <c r="A28" t="s">
        <v>121</v>
      </c>
      <c r="B28" s="9">
        <v>46075</v>
      </c>
      <c r="C28" t="s">
        <v>93</v>
      </c>
      <c r="D28" t="s">
        <v>73</v>
      </c>
      <c r="E28">
        <v>5</v>
      </c>
      <c r="F28" s="8">
        <v>95</v>
      </c>
      <c r="G28" s="8">
        <v>475</v>
      </c>
      <c r="H28" s="8">
        <v>290</v>
      </c>
      <c r="I28" s="10">
        <f>IF(G28-H28&gt;0,(G28-H28)*Assumptions!B29,0)</f>
        <v>0</v>
      </c>
      <c r="J28" s="5"/>
    </row>
    <row r="29" spans="1:10">
      <c r="A29" t="s">
        <v>122</v>
      </c>
      <c r="B29" s="9">
        <v>46077</v>
      </c>
      <c r="C29" t="s">
        <v>95</v>
      </c>
      <c r="D29" t="s">
        <v>73</v>
      </c>
      <c r="E29">
        <v>9</v>
      </c>
      <c r="F29" s="8">
        <v>95</v>
      </c>
      <c r="G29" s="8">
        <v>855</v>
      </c>
      <c r="H29" s="8">
        <v>522</v>
      </c>
      <c r="I29" s="10">
        <f>IF(G29-H29&gt;0,(G29-H29)*Assumptions!B30,0)</f>
        <v>0</v>
      </c>
      <c r="J29" s="5"/>
    </row>
    <row r="30" spans="1:10">
      <c r="A30" t="s">
        <v>123</v>
      </c>
      <c r="B30" s="9">
        <v>46079</v>
      </c>
      <c r="C30" t="s">
        <v>97</v>
      </c>
      <c r="D30" t="s">
        <v>78</v>
      </c>
      <c r="E30">
        <v>3</v>
      </c>
      <c r="F30" s="8">
        <v>149</v>
      </c>
      <c r="G30" s="8">
        <v>447</v>
      </c>
      <c r="H30" s="8">
        <v>258</v>
      </c>
      <c r="I30" s="10">
        <f>IF(G30-H30&gt;0,(G30-H30)*Assumptions!B31,0)</f>
        <v>0</v>
      </c>
      <c r="J30" s="5"/>
    </row>
    <row r="31" spans="1:10">
      <c r="A31" t="s">
        <v>124</v>
      </c>
      <c r="B31" s="9">
        <v>46081</v>
      </c>
      <c r="C31" t="s">
        <v>99</v>
      </c>
      <c r="D31" t="s">
        <v>76</v>
      </c>
      <c r="E31">
        <v>4</v>
      </c>
      <c r="F31" s="8">
        <v>49</v>
      </c>
      <c r="G31" s="8">
        <v>196</v>
      </c>
      <c r="H31" s="8">
        <v>108</v>
      </c>
      <c r="I31" s="10">
        <f>IF(G31-H31&gt;0,(G31-H31)*Assumptions!B32,0)</f>
        <v>0</v>
      </c>
      <c r="J31" s="5"/>
    </row>
    <row r="32" spans="1:10">
      <c r="A32" t="s">
        <v>125</v>
      </c>
      <c r="B32" s="9">
        <v>46083</v>
      </c>
      <c r="C32" t="s">
        <v>93</v>
      </c>
      <c r="D32" t="s">
        <v>76</v>
      </c>
      <c r="E32">
        <v>8</v>
      </c>
      <c r="F32" s="8">
        <v>49</v>
      </c>
      <c r="G32" s="8">
        <v>392</v>
      </c>
      <c r="H32" s="8">
        <v>216</v>
      </c>
      <c r="I32" s="10">
        <f>IF(G32-H32&gt;0,(G32-H32)*Assumptions!B33,0)</f>
        <v>0</v>
      </c>
      <c r="J32" s="5"/>
    </row>
    <row r="33" spans="1:10">
      <c r="A33" t="s">
        <v>126</v>
      </c>
      <c r="B33" s="9">
        <v>46085</v>
      </c>
      <c r="C33" t="s">
        <v>95</v>
      </c>
      <c r="D33" t="s">
        <v>70</v>
      </c>
      <c r="E33">
        <v>10</v>
      </c>
      <c r="F33" s="8">
        <v>295</v>
      </c>
      <c r="G33" s="8">
        <v>2950</v>
      </c>
      <c r="H33" s="8">
        <v>1900</v>
      </c>
      <c r="I33" s="10">
        <f>IF(G33-H33&gt;0,(G33-H33)*Assumptions!B34,0)</f>
        <v>0</v>
      </c>
      <c r="J33" s="5"/>
    </row>
  </sheetData>
  <mergeCells count="1">
    <mergeCell ref="A1:J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workbookViewId="0">
      <selection activeCell="B17" sqref="B17"/>
    </sheetView>
  </sheetViews>
  <sheetFormatPr defaultRowHeight="14.25"/>
  <cols>
    <col min="1" max="1" width="27" customWidth="1"/>
    <col min="2" max="2" width="25" customWidth="1"/>
    <col min="3" max="3" width="52" customWidth="1"/>
    <col min="5" max="5" width="28" customWidth="1"/>
    <col min="6" max="6" width="34" customWidth="1"/>
  </cols>
  <sheetData>
    <row r="1" spans="1:8" ht="16.5">
      <c r="A1" s="19" t="s">
        <v>127</v>
      </c>
      <c r="B1" s="19"/>
      <c r="C1" s="19"/>
      <c r="D1" s="19"/>
      <c r="E1" s="19"/>
      <c r="F1" s="19"/>
      <c r="G1" s="19"/>
      <c r="H1" s="19"/>
    </row>
    <row r="3" spans="1:8" ht="15">
      <c r="A3" s="4" t="s">
        <v>128</v>
      </c>
      <c r="B3" s="4" t="s">
        <v>129</v>
      </c>
      <c r="C3" s="4" t="s">
        <v>130</v>
      </c>
      <c r="E3" s="4" t="s">
        <v>39</v>
      </c>
      <c r="F3" s="4" t="s">
        <v>131</v>
      </c>
    </row>
    <row r="4" spans="1:8">
      <c r="A4" s="1" t="s">
        <v>19</v>
      </c>
      <c r="B4" s="11">
        <f>SUM(Sales!G4:G32)</f>
        <v>153388</v>
      </c>
      <c r="C4" s="1" t="s">
        <v>132</v>
      </c>
      <c r="E4" t="s">
        <v>133</v>
      </c>
      <c r="F4" s="5" t="s">
        <v>134</v>
      </c>
    </row>
    <row r="5" spans="1:8" ht="28.5">
      <c r="A5" s="1" t="s">
        <v>135</v>
      </c>
      <c r="B5" s="11">
        <f>B4*15%</f>
        <v>23008.2</v>
      </c>
      <c r="C5" s="1" t="s">
        <v>136</v>
      </c>
      <c r="E5" t="s">
        <v>137</v>
      </c>
      <c r="F5" s="5" t="s">
        <v>138</v>
      </c>
    </row>
    <row r="6" spans="1:8">
      <c r="A6" s="1" t="s">
        <v>139</v>
      </c>
      <c r="B6" s="12" t="s">
        <v>140</v>
      </c>
      <c r="C6" s="1" t="s">
        <v>141</v>
      </c>
      <c r="E6" t="s">
        <v>142</v>
      </c>
      <c r="F6" s="5" t="s">
        <v>143</v>
      </c>
    </row>
    <row r="7" spans="1:8">
      <c r="A7" s="1" t="s">
        <v>144</v>
      </c>
      <c r="B7" s="12" t="s">
        <v>140</v>
      </c>
      <c r="C7" s="1" t="s">
        <v>145</v>
      </c>
    </row>
    <row r="8" spans="1:8">
      <c r="A8" s="1" t="s">
        <v>146</v>
      </c>
      <c r="B8" s="11">
        <f>SUM(Sales!G4:G33)-SUM(Sales!H4:H33)</f>
        <v>48918</v>
      </c>
      <c r="C8" s="1" t="s">
        <v>147</v>
      </c>
    </row>
    <row r="9" spans="1:8">
      <c r="A9" s="1" t="s">
        <v>148</v>
      </c>
      <c r="B9" s="13">
        <f>B8/B4</f>
        <v>0.3189167340339531</v>
      </c>
      <c r="C9" s="1" t="s">
        <v>149</v>
      </c>
    </row>
    <row r="10" spans="1:8">
      <c r="A10" s="1" t="s">
        <v>150</v>
      </c>
      <c r="B10" s="12" t="s">
        <v>151</v>
      </c>
      <c r="C10" s="1" t="s">
        <v>152</v>
      </c>
    </row>
    <row r="13" spans="1:8">
      <c r="A13" s="20" t="s">
        <v>153</v>
      </c>
      <c r="B13" s="20"/>
      <c r="C13" s="20"/>
      <c r="D13" s="20"/>
      <c r="E13" s="20"/>
      <c r="F13" s="20"/>
      <c r="G13" s="20"/>
      <c r="H13" s="20"/>
    </row>
    <row r="14" spans="1:8">
      <c r="A14" s="20"/>
      <c r="B14" s="20"/>
      <c r="C14" s="20"/>
      <c r="D14" s="20"/>
      <c r="E14" s="20"/>
      <c r="F14" s="20"/>
      <c r="G14" s="20"/>
      <c r="H14" s="20"/>
    </row>
  </sheetData>
  <mergeCells count="2">
    <mergeCell ref="A1:H1"/>
    <mergeCell ref="A13:H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
  <sheetViews>
    <sheetView workbookViewId="0"/>
  </sheetViews>
  <sheetFormatPr defaultRowHeight="14.25"/>
  <cols>
    <col min="1" max="1" width="22" customWidth="1"/>
    <col min="2" max="2" width="20" customWidth="1"/>
    <col min="3" max="3" width="40" customWidth="1"/>
    <col min="4" max="4" width="30" customWidth="1"/>
  </cols>
  <sheetData>
    <row r="1" spans="1:4" ht="15">
      <c r="A1" s="4" t="s">
        <v>154</v>
      </c>
      <c r="B1" s="4" t="s">
        <v>155</v>
      </c>
      <c r="C1" s="4" t="s">
        <v>156</v>
      </c>
      <c r="D1" s="4" t="s">
        <v>157</v>
      </c>
    </row>
    <row r="2" spans="1:4">
      <c r="A2" t="s">
        <v>158</v>
      </c>
      <c r="B2" t="s">
        <v>159</v>
      </c>
      <c r="C2" t="s">
        <v>160</v>
      </c>
      <c r="D2" t="s">
        <v>161</v>
      </c>
    </row>
    <row r="3" spans="1:4">
      <c r="A3" t="s">
        <v>162</v>
      </c>
      <c r="B3" t="s">
        <v>162</v>
      </c>
      <c r="C3" t="s">
        <v>163</v>
      </c>
      <c r="D3" t="s">
        <v>164</v>
      </c>
    </row>
    <row r="4" spans="1:4">
      <c r="A4" t="s">
        <v>165</v>
      </c>
      <c r="B4" t="s">
        <v>166</v>
      </c>
      <c r="C4" t="s">
        <v>167</v>
      </c>
      <c r="D4" t="s">
        <v>168</v>
      </c>
    </row>
    <row r="5" spans="1:4">
      <c r="A5" t="s">
        <v>169</v>
      </c>
      <c r="B5" t="s">
        <v>170</v>
      </c>
      <c r="C5" t="s">
        <v>171</v>
      </c>
      <c r="D5" t="s">
        <v>172</v>
      </c>
    </row>
    <row r="6" spans="1:4">
      <c r="A6" t="s">
        <v>173</v>
      </c>
      <c r="B6" t="s">
        <v>174</v>
      </c>
      <c r="C6" t="s">
        <v>175</v>
      </c>
      <c r="D6"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START HERE</vt:lpstr>
      <vt:lpstr>Assumptions</vt:lpstr>
      <vt:lpstr>Products</vt:lpstr>
      <vt:lpstr>Sales</vt:lpstr>
      <vt:lpstr>Analysis</vt:lpstr>
      <vt:lpstr>Workbook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Ekaterina Nikolaevna Grishchenkova</cp:lastModifiedBy>
  <dcterms:modified xsi:type="dcterms:W3CDTF">2026-09-29T11:58:29Z</dcterms:modified>
</cp:coreProperties>
</file>